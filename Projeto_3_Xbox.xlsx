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der\Documents\Curso DIO\"/>
    </mc:Choice>
  </mc:AlternateContent>
  <xr:revisionPtr revIDLastSave="0" documentId="13_ncr:1_{39270745-A3D5-49B5-A780-691DDE5E2A1A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24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<sst xmlns="http://schemas.openxmlformats.org/spreadsheetml/2006/main" count="2021" uniqueCount="323">
  <si>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</si>
  <si>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</si>
  <si>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</si>
  <si>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</si>
  <si>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</si>
  <si>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</si>
  <si>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</si>
  <si>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</si>
  <si>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</si>
  <si>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</si>
  <si>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</si>
  <si>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</si>
  <si>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</si>
  <si>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</si>
  <si>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</si>
  <si>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</si>
  <si>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</si>
  <si>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</si>
  <si>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</si>
  <si>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</si>
  <si>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</si>
  <si>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</si>
  <si>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</si>
  <si>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</si>
  <si>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</si>
  <si>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</si>
  <si>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</si>
  <si>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</si>
  <si>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</si>
  <si>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</si>
  <si>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</si>
  <si>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</si>
  <si>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</si>
  <si>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</si>
  <si>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</si>
  <si>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</si>
  <si>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</si>
  <si>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</si>
  <si>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</si>
  <si>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</si>
  <si>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</si>
  <si>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</si>
  <si>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</si>
  <si>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</si>
  <si>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</si>
  <si>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</si>
  <si>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</si>
  <si>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</si>
  <si>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</si>
  <si>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</si>
  <si>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</si>
  <si>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</si>
  <si>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</si>
  <si>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</si>
  <si>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</si>
  <si>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</si>
  <si>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</si>
  <si>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</si>
  <si>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</si>
  <si>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</si>
  <si>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</si>
  <si>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</si>
  <si>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</si>
  <si>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</si>
  <si>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</si>
  <si>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</si>
  <si>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</si>
  <si>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</si>
  <si>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</si>
  <si>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</si>
  <si>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</si>
  <si>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</si>
  <si>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</si>
  <si>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</si>
  <si>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</si>
  <si>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</si>
  <si>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</si>
  <si>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</si>
  <si>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</si>
  <si>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</si>
  <si>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</si>
  <si>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</si>
  <si>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</si>
  <si>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</si>
  <si>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</si>
  <si>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</si>
  <si>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</si>
  <si>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</si>
  <si>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</si>
  <si>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</si>
  <si>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</si>
  <si>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</si>
  <si>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</si>
  <si>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</si>
  <si>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</si>
  <si>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</si>
  <si>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</si>
  <si>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</si>
  <si>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</si>
  <si>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</si>
  <si>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</si>
  <si>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</si>
  <si>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</si>
  <si>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</si>
  <si>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</si>
  <si>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</si>
  <si>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</si>
  <si>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</si>
  <si>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</si>
  <si>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</si>
  <si>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</si>
  <si>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</si>
  <si>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</si>
  <si>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</si>
  <si>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</si>
  <si>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</si>
  <si>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</si>
  <si>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</si>
  <si>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</si>
  <si>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</si>
  <si>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</si>
  <si>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</si>
  <si>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</si>
  <si>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</si>
  <si>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</si>
  <si>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</si>
  <si>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</si>
  <si>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</si>
  <si>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</si>
  <si>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</si>
  <si>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</si>
  <si>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</si>
  <si>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</si>
  <si>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</si>
  <si>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</si>
  <si>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</si>
  <si>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</si>
  <si>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</si>
  <si>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</si>
  <si>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</si>
  <si>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</si>
  <si>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</si>
  <si>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</si>
  <si>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</si>
  <si>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</si>
  <si>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</si>
  <si>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</si>
  <si>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</si>
  <si>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</si>
  <si>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</si>
  <si>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</si>
  <si>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</si>
  <si>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</si>
  <si>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</si>
  <si>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</si>
  <si>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</si>
  <si>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</si>
  <si>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</si>
  <si>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</si>
  <si>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</si>
  <si>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</si>
  <si>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</si>
  <si>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</si>
  <si>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</si>
  <si>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</si>
  <si>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</si>
  <si>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</si>
  <si>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</si>
  <si>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</si>
  <si>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</si>
  <si>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</si>
  <si>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</si>
  <si>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</si>
  <si>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</si>
  <si>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</si>
  <si>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</si>
  <si>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</si>
  <si>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</si>
  <si>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</si>
  <si>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</si>
  <si>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</si>
  <si>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</si>
  <si>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</si>
  <si>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</si>
  <si>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</si>
  <si>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</si>
  <si>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</si>
  <si>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</si>
  <si>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</si>
  <si>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</si>
  <si>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</si>
  <si>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</si>
  <si>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</si>
  <si>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</si>
  <si>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</si>
  <si>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</si>
  <si>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</si>
  <si>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</si>
  <si>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</si>
  <si>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</si>
  <si>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</si>
  <si>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</si>
  <si>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</si>
  <si>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</si>
  <si>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</si>
  <si>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</si>
  <si>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</si>
  <si>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</si>
  <si>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</si>
  <si>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</si>
  <si>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</si>
  <si>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</si>
  <si>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</si>
  <si>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</si>
  <si>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</si>
  <si>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</si>
  <si>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</si>
  <si>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</si>
  <si>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</si>
  <si>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</si>
  <si>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</si>
  <si>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</si>
  <si>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</si>
  <si>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</si>
  <si>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</si>
  <si>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</si>
  <si>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</si>
  <si>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</si>
  <si>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</si>
  <si>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</si>
  <si>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</si>
  <si>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</si>
  <si>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</si>
  <si>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</si>
  <si>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</si>
  <si>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</si>
  <si>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</si>
  <si>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</si>
  <si>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</si>
  <si>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</si>
  <si>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</si>
  <si>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</si>
  <si>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</si>
  <si>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</si>
  <si>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</si>
  <si>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</si>
  <si>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</si>
  <si>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</si>
  <si>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</si>
  <si>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</si>
  <si>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</si>
  <si>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</si>
  <si>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</si>
  <si>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</si>
  <si>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</si>
  <si>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</si>
  <si>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</si>
  <si>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</si>
  <si>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</si>
  <si>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</si>
  <si>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</si>
  <si>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</si>
  <si>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</si>
  <si>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</si>
  <si>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</si>
  <si>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</si>
  <si>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</si>
  <si>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</si>
  <si>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</si>
  <si>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</si>
  <si>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</si>
  <si>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</si>
  <si>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</si>
  <si>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</si>
  <si>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</si>
  <si>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</si>
  <si>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</si>
  <si>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</si>
  <si>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</si>
  <si>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</si>
  <si>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</si>
  <si>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</si>
  <si>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</si>
  <si>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</si>
  <si>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</si>
  <si>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</si>
  <si>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</si>
  <si>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</si>
  <si>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</si>
  <si>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</si>
  <si>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</si>
  <si>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</si>
  <si>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</si>
  <si>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</si>
  <si>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</si>
  <si>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</si>
  <si>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</si>
  <si>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</si>
  <si>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</si>
  <si>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</si>
  <si>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</si>
  <si>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</si>
  <si>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</si>
  <si>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</si>
  <si>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</si>
  <si>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</si>
  <si>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</si>
  <si>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</si>
  <si>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</si>
  <si>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</si>
  <si>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</si>
  <si>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</si>
  <si>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</si>
  <si>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</si>
  <si>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</si>
  <si>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</si>
  <si>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PN1 - Qual o faturamento Total de vendas de planos anuais (contendo todas as assinaturas agregadas)</t>
  </si>
  <si>
    <t>PN2 - Qual o faturamento Total de vendas de palnos anuais, separado por auto renovação e não autorenvação.</t>
  </si>
  <si>
    <t>XBOX GAME PASS SUBSCRIPTIONS SALES</t>
  </si>
  <si>
    <t>PN3 - Total de vendas de assinaturas do EA Play</t>
  </si>
  <si>
    <t>Soma de EA Play Season Pass</t>
  </si>
  <si>
    <t>PN4 - Total de vendas de assinaturas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</si>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</sst>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4" fillId="0" borderId="2" xfId="1" applyFont="1" applyBorder="1"/>
    <xf numFmtId="0" fontId="0" fillId="0" borderId="2" xfId="0" applyBorder="1"/>
    <xf numFmtId="0" fontId="4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2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40386B5-2C87-4BBD-849C-3FD18A47DA03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[Projeto_3_Xbox.xlsx]C̳álculos!tbl_annual_total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46-486D-9585-91C063BBDFF7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46-486D-9585-91C063BBDFF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46-486D-9585-91C063BBDF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46-486D-9585-91C063BBDF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46-486D-9585-91C063BBD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0284048"/>
        <c:axId val="863294512"/>
      </c:barChart>
      <c:catAx>
        <c:axId val="85028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3294512"/>
        <c:crosses val="autoZero"/>
        <c:auto val="1"/>
        <c:lblAlgn val="ctr"/>
        <c:lblOffset val="100"/>
        <c:noMultiLvlLbl val="0"/>
      </c:catAx>
      <c:valAx>
        <c:axId val="8632945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028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45808</xdr:colOff>
      <xdr:row>0</xdr:row>
      <xdr:rowOff>170330</xdr:rowOff>
    </xdr:from>
    <xdr:to>
      <xdr:col>2</xdr:col>
      <xdr:colOff>441936</xdr:colOff>
      <xdr:row>3</xdr:row>
      <xdr:rowOff>9274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FEF6DE-2873-453C-888D-63FFC64DF1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2" t="17607" r="72607" b="20371"/>
        <a:stretch>
          <a:fillRect/>
        </a:stretch>
      </xdr:blipFill>
      <xdr:spPr>
        <a:xfrm>
          <a:off x="1874608" y="170330"/>
          <a:ext cx="638175" cy="600944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268941</xdr:rowOff>
    </xdr:from>
    <xdr:to>
      <xdr:col>1</xdr:col>
      <xdr:colOff>0</xdr:colOff>
      <xdr:row>14</xdr:row>
      <xdr:rowOff>128196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C14B90F-84B3-4BF7-9651-92174A7863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70212"/>
              <a:ext cx="1828800" cy="1356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188258</xdr:colOff>
      <xdr:row>6</xdr:row>
      <xdr:rowOff>98610</xdr:rowOff>
    </xdr:from>
    <xdr:to>
      <xdr:col>9</xdr:col>
      <xdr:colOff>510988</xdr:colOff>
      <xdr:row>14</xdr:row>
      <xdr:rowOff>90094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37A1E2F1-1355-0BB8-0489-1B14271BECB0}"/>
            </a:ext>
          </a:extLst>
        </xdr:cNvPr>
        <xdr:cNvGrpSpPr/>
      </xdr:nvGrpSpPr>
      <xdr:grpSpPr>
        <a:xfrm>
          <a:off x="2017058" y="1174375"/>
          <a:ext cx="4831977" cy="1614095"/>
          <a:chOff x="2079811" y="1362635"/>
          <a:chExt cx="5040000" cy="161409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66EABF2-4CE4-6DCA-C40A-FD26B697A7B2}"/>
              </a:ext>
            </a:extLst>
          </xdr:cNvPr>
          <xdr:cNvSpPr/>
        </xdr:nvSpPr>
        <xdr:spPr>
          <a:xfrm>
            <a:off x="2079811" y="1810870"/>
            <a:ext cx="5040000" cy="1013011"/>
          </a:xfrm>
          <a:prstGeom prst="roundRect">
            <a:avLst>
              <a:gd name="adj" fmla="val 1578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071A6BF-9152-4160-94F1-39F6A44B0E95}"/>
              </a:ext>
            </a:extLst>
          </xdr:cNvPr>
          <xdr:cNvSpPr/>
        </xdr:nvSpPr>
        <xdr:spPr>
          <a:xfrm>
            <a:off x="3666564" y="2044176"/>
            <a:ext cx="2590801" cy="699248"/>
          </a:xfrm>
          <a:prstGeom prst="round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47A8EC4-17FB-413B-ACD3-D4046FC5EAE4}" type="TxLink">
              <a:rPr lang="en-US" sz="2800" b="1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2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6BE3641-83AE-4519-A313-3CA3D5C801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94965" y="1810870"/>
            <a:ext cx="1219200" cy="116586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9B6759F6-8A21-0498-AE29-EB3289D98472}"/>
              </a:ext>
            </a:extLst>
          </xdr:cNvPr>
          <xdr:cNvSpPr/>
        </xdr:nvSpPr>
        <xdr:spPr>
          <a:xfrm>
            <a:off x="2079811" y="1362635"/>
            <a:ext cx="5040000" cy="59167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349624</xdr:colOff>
      <xdr:row>6</xdr:row>
      <xdr:rowOff>116540</xdr:rowOff>
    </xdr:from>
    <xdr:to>
      <xdr:col>19</xdr:col>
      <xdr:colOff>143436</xdr:colOff>
      <xdr:row>13</xdr:row>
      <xdr:rowOff>134469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58E9FAE-E72E-B266-32D8-1D61083E7B2A}"/>
            </a:ext>
          </a:extLst>
        </xdr:cNvPr>
        <xdr:cNvGrpSpPr/>
      </xdr:nvGrpSpPr>
      <xdr:grpSpPr>
        <a:xfrm>
          <a:off x="7297271" y="1192305"/>
          <a:ext cx="5118847" cy="1461246"/>
          <a:chOff x="7808259" y="932330"/>
          <a:chExt cx="5040000" cy="1461246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54E69BF4-27C2-4257-ADD4-65EB0941FD7C}"/>
              </a:ext>
            </a:extLst>
          </xdr:cNvPr>
          <xdr:cNvGrpSpPr/>
        </xdr:nvGrpSpPr>
        <xdr:grpSpPr>
          <a:xfrm>
            <a:off x="7808259" y="932330"/>
            <a:ext cx="5040000" cy="1461246"/>
            <a:chOff x="2079811" y="1362635"/>
            <a:chExt cx="5040000" cy="1461246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08F7D151-C8BC-BE5E-0BC7-FA2C6E7B7912}"/>
                </a:ext>
              </a:extLst>
            </xdr:cNvPr>
            <xdr:cNvSpPr/>
          </xdr:nvSpPr>
          <xdr:spPr>
            <a:xfrm>
              <a:off x="2079811" y="1810870"/>
              <a:ext cx="5040000" cy="1013011"/>
            </a:xfrm>
            <a:prstGeom prst="roundRect">
              <a:avLst>
                <a:gd name="adj" fmla="val 1578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4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26619139-900B-C8AE-D636-B40B904CAACD}"/>
                </a:ext>
              </a:extLst>
            </xdr:cNvPr>
            <xdr:cNvSpPr/>
          </xdr:nvSpPr>
          <xdr:spPr>
            <a:xfrm>
              <a:off x="3772487" y="2044176"/>
              <a:ext cx="2590801" cy="699248"/>
            </a:xfrm>
            <a:prstGeom prst="round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D5E3479-96B0-4748-BF2E-8678F9103E12}" type="TxLink">
                <a:rPr lang="en-US" sz="2800" b="1" i="0" u="none" strike="noStrike">
                  <a:solidFill>
                    <a:srgbClr val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R$ 940,00</a:t>
              </a:fld>
              <a:endParaRPr lang="pt-BR" sz="28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46668D17-1233-C0E7-1DFF-B3089BD20FB8}"/>
                </a:ext>
              </a:extLst>
            </xdr:cNvPr>
            <xdr:cNvSpPr/>
          </xdr:nvSpPr>
          <xdr:spPr>
            <a:xfrm>
              <a:off x="2079811" y="1362635"/>
              <a:ext cx="5040000" cy="591671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D5355EE8-2DFD-4EC3-83D0-9F6E18C17EEA}"/>
              </a:ext>
            </a:extLst>
          </xdr:cNvPr>
          <xdr:cNvGrpSpPr/>
        </xdr:nvGrpSpPr>
        <xdr:grpSpPr>
          <a:xfrm>
            <a:off x="7924799" y="1640539"/>
            <a:ext cx="1365982" cy="636495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2F2C8653-410F-B81A-6C1B-CD23391F48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934A72FF-6572-56E1-6B66-C581EE02B86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98611</xdr:colOff>
      <xdr:row>14</xdr:row>
      <xdr:rowOff>179293</xdr:rowOff>
    </xdr:from>
    <xdr:to>
      <xdr:col>19</xdr:col>
      <xdr:colOff>179294</xdr:colOff>
      <xdr:row>31</xdr:row>
      <xdr:rowOff>32825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DE3A1977-0C00-A2FA-4A74-6831B6E6087F}"/>
            </a:ext>
          </a:extLst>
        </xdr:cNvPr>
        <xdr:cNvGrpSpPr/>
      </xdr:nvGrpSpPr>
      <xdr:grpSpPr>
        <a:xfrm>
          <a:off x="1927411" y="2877669"/>
          <a:ext cx="10524565" cy="2901532"/>
          <a:chOff x="1963270" y="3209366"/>
          <a:chExt cx="11160000" cy="290153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EB39B2F7-BF72-A3D2-042F-43A2C30E82B2}"/>
              </a:ext>
            </a:extLst>
          </xdr:cNvPr>
          <xdr:cNvGrpSpPr/>
        </xdr:nvGrpSpPr>
        <xdr:grpSpPr>
          <a:xfrm>
            <a:off x="1963270" y="3361764"/>
            <a:ext cx="11159999" cy="2749134"/>
            <a:chOff x="1936376" y="1048870"/>
            <a:chExt cx="4906857" cy="299421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1F3F04F-73FD-338A-BC7E-3A6A0BAC2EB3}"/>
                </a:ext>
              </a:extLst>
            </xdr:cNvPr>
            <xdr:cNvSpPr/>
          </xdr:nvSpPr>
          <xdr:spPr>
            <a:xfrm>
              <a:off x="1936376" y="1048870"/>
              <a:ext cx="4906857" cy="299421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FAC996D-5AB1-48B0-86C7-478F7503A1F8}"/>
                </a:ext>
              </a:extLst>
            </xdr:cNvPr>
            <xdr:cNvGraphicFramePr>
              <a:graphicFrameLocks/>
            </xdr:cNvGraphicFramePr>
          </xdr:nvGraphicFramePr>
          <xdr:xfrm>
            <a:off x="2107602" y="119141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A69DD914-09BE-4D9F-B50B-D3BBE72A1E00}"/>
              </a:ext>
            </a:extLst>
          </xdr:cNvPr>
          <xdr:cNvSpPr/>
        </xdr:nvSpPr>
        <xdr:spPr>
          <a:xfrm>
            <a:off x="1963270" y="3209366"/>
            <a:ext cx="11160000" cy="59167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</a:t>
            </a:r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</a:p>
        </xdr:txBody>
      </xdr:sp>
    </xdr:grpSp>
    <xdr:clientData/>
  </xdr:twoCellAnchor>
  <xdr:twoCellAnchor editAs="absolute">
    <xdr:from>
      <xdr:col>0</xdr:col>
      <xdr:colOff>530879</xdr:colOff>
      <xdr:row>0</xdr:row>
      <xdr:rowOff>125507</xdr:rowOff>
    </xdr:from>
    <xdr:to>
      <xdr:col>0</xdr:col>
      <xdr:colOff>1226204</xdr:colOff>
      <xdr:row>3</xdr:row>
      <xdr:rowOff>26447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4BC3DE57-1480-4428-AE15-C3D1421D16EE}"/>
            </a:ext>
          </a:extLst>
        </xdr:cNvPr>
        <xdr:cNvSpPr/>
      </xdr:nvSpPr>
      <xdr:spPr>
        <a:xfrm>
          <a:off x="530879" y="125507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188259</xdr:colOff>
      <xdr:row>2</xdr:row>
      <xdr:rowOff>215153</xdr:rowOff>
    </xdr:from>
    <xdr:to>
      <xdr:col>0</xdr:col>
      <xdr:colOff>1568824</xdr:colOff>
      <xdr:row>7</xdr:row>
      <xdr:rowOff>-1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25FCCBF6-5C48-A7ED-184A-16B272C60A7F}"/>
            </a:ext>
          </a:extLst>
        </xdr:cNvPr>
        <xdr:cNvSpPr/>
      </xdr:nvSpPr>
      <xdr:spPr>
        <a:xfrm>
          <a:off x="188259" y="753035"/>
          <a:ext cx="1380565" cy="448235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vinda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, Jhulli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8964</xdr:colOff>
      <xdr:row>2</xdr:row>
      <xdr:rowOff>134471</xdr:rowOff>
    </xdr:from>
    <xdr:to>
      <xdr:col>10</xdr:col>
      <xdr:colOff>349623</xdr:colOff>
      <xdr:row>6</xdr:row>
      <xdr:rowOff>44823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8072F1DE-2AD4-47E6-91D8-999C200958FB}"/>
            </a:ext>
          </a:extLst>
        </xdr:cNvPr>
        <xdr:cNvSpPr/>
      </xdr:nvSpPr>
      <xdr:spPr>
        <a:xfrm>
          <a:off x="1837764" y="672353"/>
          <a:ext cx="5459506" cy="448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01/01/2024 - 31/12/2024 | Update date: 23/06/2026</a:t>
          </a:r>
          <a:endParaRPr lang="pt-BR" sz="1100" b="0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Gonçalves" refreshedDate="46196.554308217594" createdVersion="8" refreshedVersion="8" minRefreshableVersion="3" recordCount="295" xr:uid="{D534D705-4CFD-41F2-973F-B02761ED176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7119299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1A723-DC94-4E7D-B28D-E8D80FA8AE2A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5F876-0521-4FA1-A18D-78E36A87AE36}" name="tbl_EAplay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31AF4-0D25-49E2-90E8-EBFCB2B80E8E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32EEFC2-5F18-4BDC-A8D9-EE8F447515BF}" sourceName="Subscription Type">
  <pivotTables>
    <pivotTable tabId="3" name="tbl_annual_total"/>
    <pivotTable tabId="3" name="tbl_EAplay_Total"/>
    <pivotTable tabId="3" name="Tabela dinâmica3"/>
  </pivotTables>
  <data>
    <tabular pivotCacheId="171192993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B025042-D489-4D2E-8389-AFF5D615F663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F34" sqref="F3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34" sqref="F3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4"/>
  <sheetViews>
    <sheetView showGridLines="0" topLeftCell="A17" workbookViewId="0">
      <selection activeCell="F34" sqref="F34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5" width="8.33203125" bestFit="1" customWidth="1"/>
    <col min="6" max="6" width="11.88671875" bestFit="1" customWidth="1"/>
    <col min="7" max="17" width="9.33203125" bestFit="1" customWidth="1"/>
    <col min="18" max="18" width="11.33203125" bestFit="1" customWidth="1"/>
  </cols>
  <sheetData>
    <row r="3" spans="2:3" x14ac:dyDescent="0.3">
      <c r="B3" t="s">
        <v>316</v>
      </c>
    </row>
    <row r="4" spans="2:3" x14ac:dyDescent="0.3">
      <c r="B4" t="s">
        <v>317</v>
      </c>
    </row>
    <row r="8" spans="2:3" x14ac:dyDescent="0.3">
      <c r="B8" s="12" t="s">
        <v>16</v>
      </c>
      <c r="C8" t="s">
        <v>24</v>
      </c>
    </row>
    <row r="10" spans="2:3" x14ac:dyDescent="0.3">
      <c r="B10" s="12" t="s">
        <v>313</v>
      </c>
      <c r="C10" t="s">
        <v>315</v>
      </c>
    </row>
    <row r="11" spans="2:3" x14ac:dyDescent="0.3">
      <c r="B11" s="13" t="s">
        <v>23</v>
      </c>
      <c r="C11" s="14">
        <v>217</v>
      </c>
    </row>
    <row r="12" spans="2:3" x14ac:dyDescent="0.3">
      <c r="B12" s="13" t="s">
        <v>19</v>
      </c>
      <c r="C12" s="14">
        <v>1537</v>
      </c>
    </row>
    <row r="13" spans="2:3" x14ac:dyDescent="0.3">
      <c r="B13" s="13" t="s">
        <v>314</v>
      </c>
      <c r="C13" s="14">
        <v>1754</v>
      </c>
    </row>
    <row r="16" spans="2:3" x14ac:dyDescent="0.3">
      <c r="B16" s="13" t="s">
        <v>319</v>
      </c>
    </row>
    <row r="18" spans="2:6" x14ac:dyDescent="0.3">
      <c r="B18" s="12" t="s">
        <v>16</v>
      </c>
      <c r="C18" t="s">
        <v>24</v>
      </c>
    </row>
    <row r="20" spans="2:6" x14ac:dyDescent="0.3">
      <c r="B20" s="12" t="s">
        <v>313</v>
      </c>
      <c r="C20" t="s">
        <v>320</v>
      </c>
    </row>
    <row r="21" spans="2:6" x14ac:dyDescent="0.3">
      <c r="B21" s="13" t="s">
        <v>22</v>
      </c>
      <c r="C21" s="15">
        <v>0</v>
      </c>
    </row>
    <row r="22" spans="2:6" x14ac:dyDescent="0.3">
      <c r="B22" s="13" t="s">
        <v>26</v>
      </c>
      <c r="C22" s="15">
        <v>0</v>
      </c>
    </row>
    <row r="23" spans="2:6" x14ac:dyDescent="0.3">
      <c r="B23" s="13" t="s">
        <v>18</v>
      </c>
      <c r="C23" s="15">
        <v>600</v>
      </c>
    </row>
    <row r="24" spans="2:6" x14ac:dyDescent="0.3">
      <c r="B24" s="13" t="s">
        <v>314</v>
      </c>
      <c r="C24" s="15">
        <v>600</v>
      </c>
      <c r="F24" s="16">
        <f>GETPIVOTDATA("EA Play Season Pass
Price",$B$20)</f>
        <v>600</v>
      </c>
    </row>
    <row r="26" spans="2:6" x14ac:dyDescent="0.3">
      <c r="B26" s="13" t="s">
        <v>321</v>
      </c>
    </row>
    <row r="28" spans="2:6" x14ac:dyDescent="0.3">
      <c r="B28" s="12" t="s">
        <v>16</v>
      </c>
      <c r="C28" t="s">
        <v>24</v>
      </c>
    </row>
    <row r="30" spans="2:6" x14ac:dyDescent="0.3">
      <c r="B30" s="12" t="s">
        <v>313</v>
      </c>
      <c r="C30" t="s">
        <v>322</v>
      </c>
    </row>
    <row r="31" spans="2:6" x14ac:dyDescent="0.3">
      <c r="B31" s="13" t="s">
        <v>22</v>
      </c>
      <c r="C31" s="14">
        <v>0</v>
      </c>
    </row>
    <row r="32" spans="2:6" x14ac:dyDescent="0.3">
      <c r="B32" s="13" t="s">
        <v>26</v>
      </c>
      <c r="C32" s="14">
        <v>540</v>
      </c>
    </row>
    <row r="33" spans="2:6" x14ac:dyDescent="0.3">
      <c r="B33" s="13" t="s">
        <v>18</v>
      </c>
      <c r="C33" s="14">
        <v>400</v>
      </c>
    </row>
    <row r="34" spans="2:6" x14ac:dyDescent="0.3">
      <c r="B34" s="13" t="s">
        <v>314</v>
      </c>
      <c r="C34" s="14">
        <v>940</v>
      </c>
      <c r="F34" s="16">
        <f>GETPIVOTDATA("Minecraft Season Pass Price",$B$30)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261"/>
  <sheetViews>
    <sheetView showGridLines="0" tabSelected="1" zoomScale="85" zoomScaleNormal="85" workbookViewId="0">
      <selection activeCell="Y21" sqref="Y21"/>
    </sheetView>
  </sheetViews>
  <sheetFormatPr defaultRowHeight="14.4" x14ac:dyDescent="0.3"/>
  <cols>
    <col min="1" max="1" width="26.6640625" style="4" customWidth="1"/>
    <col min="2" max="2" width="3.5546875" customWidth="1"/>
    <col min="12" max="12" width="6.5546875" customWidth="1"/>
  </cols>
  <sheetData>
    <row r="2" spans="1:19" ht="28.2" customHeight="1" thickBot="1" x14ac:dyDescent="0.65">
      <c r="C2" s="19" t="s">
        <v>318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8"/>
    </row>
    <row r="3" spans="1:19" ht="17.399999999999999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33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Anderson Gonçalves</cp:lastModifiedBy>
  <dcterms:created xsi:type="dcterms:W3CDTF">2024-12-19T13:13:10Z</dcterms:created>
  <dcterms:modified xsi:type="dcterms:W3CDTF">2026-06-23T19:38:10Z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